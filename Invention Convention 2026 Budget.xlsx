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tem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tc={2ccd4861-a5d2-43fb-82ce-22081e07de27}</author>
    <author>tc={37c59d4b-d780-4826-bba5-abb59b2dd053}</author>
    <author>tc={3800bdc8-c401-4480-9f34-37090569bfac}</author>
    <author>tc={dcf6d5ce-b953-4445-b212-45220b24d70d}</author>
    <author>tc={e7195b64-7e5e-4a91-a37f-c73be21c155e}</author>
  </authors>
  <commentList>
    <comment authorId="0" xr:uid="{2ccd4861-a5d2-43fb-82ce-22081e07de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lol i changed the title it was 2025
</t>
      </text>
    </comment>
    <comment authorId="1" xr:uid="{37c59d4b-d780-4826-bba5-abb59b2dd053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@1055868@etusd.org add the price you bought this for.
Assigned to 1055868@etusd.org
</t>
      </text>
    </comment>
    <comment authorId="2" xr:uid="{3800bdc8-c401-4480-9f34-37090569bfac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when price is updated for this row
</t>
      </text>
    </comment>
    <comment authorId="3" xr:uid="{dcf6d5ce-b953-4445-b212-45220b24d70d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powerful enough
Reply:
	Well let's do some more research and find one that works
Reply:
	It'll probably work for the prototype so it should be okay
Reply:
	But I think you also want to buy motors for yourself too right?
</t>
      </text>
    </comment>
    <comment authorId="4" xr:uid="{e7195b64-7e5e-4a91-a37f-c73be21c155e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 this when price is updated
</t>
      </text>
    </comment>
  </commentList>
</comments>
</file>

<file path=xl/sharedStrings.xml><?xml version="1.0" encoding="utf-8"?>
<sst xmlns="http://schemas.openxmlformats.org/spreadsheetml/2006/main" count="33" uniqueCount="22">
  <si>
    <t>Item Name</t>
  </si>
  <si>
    <t>Link to Retailer</t>
  </si>
  <si>
    <t>Price</t>
  </si>
  <si>
    <t>Money left</t>
  </si>
  <si>
    <t>Price Per Person</t>
  </si>
  <si>
    <t>Arduino UNO Q4GB</t>
  </si>
  <si>
    <t>Arduino USA</t>
  </si>
  <si>
    <t>USB Camera</t>
  </si>
  <si>
    <t>Amazon</t>
  </si>
  <si>
    <t>Ultrasonic Sensors (3 pack)</t>
  </si>
  <si>
    <t>12V Lead Acid Battery</t>
  </si>
  <si>
    <t>Charger</t>
  </si>
  <si>
    <t>5V UBEC</t>
  </si>
  <si>
    <t>Fuse Holder</t>
  </si>
  <si>
    <t>Power Switch</t>
  </si>
  <si>
    <t>Continuous Rotational Servo</t>
  </si>
  <si>
    <t>775 DC Motor</t>
  </si>
  <si>
    <t>775 Bracket</t>
  </si>
  <si>
    <t>MOSFET Module</t>
  </si>
  <si>
    <t>Door Servo</t>
  </si>
  <si>
    <t>TOTALS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</si>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</sst>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 Ite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442f276e-3262-4545-9a77-cd8eabb2de17}">
    <Anchor>
      <Comment id="{37c59d4b-d780-4826-bba5-abb59b2dd053}"/>
    </Anchor>
    <History>
      <Event time="2026-01-29T20:33:19.00" id="{4c600590-939c-4f61-aad1-524b2682099f}">
        <Attribution userId="placeholder@email.com" userName="Evan Winyarat" userProvider="google-sheets"/>
        <Anchor>
          <Comment id="{37c59d4b-d780-4826-bba5-abb59b2dd053}"/>
        </Anchor>
        <Create/>
      </Event>
      <Event time="2026-01-29T20:33:19.00" id="{3e4a0831-045d-4c85-ad8f-8a565e836627}">
        <Attribution userId="placeholder@email.com" userName="Evan Winyarat" userProvider="google-sheets"/>
        <Anchor>
          <Comment id="{37c59d4b-d780-4826-bba5-abb59b2dd053}"/>
        </Anchor>
        <Assign userId="1055868@etusd.org" userName="1055868@etusd.org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1055868@etusd.org" id="{d538f146-6420-4d9c-b63e-69011892dea0}" userId="1055868@etusd.org" providerId="google-sheets"/>
  <x18tc:person displayName="Evan Winyarat" id="{786ac517-a90e-4b98-aa3e-dcb1f5876c2c}" providerId="google-sheets"/>
  <x18tc:person displayName="Jeremy Yam" id="{aca7fe00-7c47-4f3c-a240-f8089850d4e2}" providerId="google-sheets"/>
  <x18tc:person displayName="Lucas Chu" id="{e1ec1d2a-acba-4b31-b154-6a70c9f7a846}" providerId="google-sheets"/>
</x18tc:personList>
</file>

<file path=xl/tables/table1.xml><?xml version="1.0" encoding="utf-8"?>
<table xmlns="http://schemas.openxmlformats.org/spreadsheetml/2006/main" ref="A1:E16" displayName="Budget" name="Budget" id="1">
  <tableColumns count="5">
    <tableColumn name="Item Name" id="1"/>
    <tableColumn name="Link to Retailer" id="2"/>
    <tableColumn name="Price" id="3"/>
    <tableColumn name="Money left" id="4"/>
    <tableColumn name="Price Per Person" id="5"/>
  </tableColumns>
  <tableStyleInfo name="All 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" dT="2026-01-29T20:33:19.00" personId="{786ac517-a90e-4b98-aa3e-dcb1f5876c2c}" id="{37c59d4b-d780-4826-bba5-abb59b2dd053}" done="1">
    <x18tc:text xml:space="preserve">@1055868@etusd.org add the price you bought this for.
Assigned to 1055868@etusd.org</x18tc:text>
    <x18tc:mentions>
      <x18tc:mention mentionpersonId="{d538f146-6420-4d9c-b63e-69011892dea0}" mentionId="{513c54e4-d1c6-4f54-824b-5ed9fec0be99}" startIndex="0" length="18"/>
    </x18tc:mentions>
  </x18tc:threadedComment>
  <x18tc:threadedComment ref="B5" dT="2026-01-22T16:49:19.00" personId="{aca7fe00-7c47-4f3c-a240-f8089850d4e2}" id="{dcf6d5ce-b953-4445-b212-45220b24d70d}" done="1">
    <x18tc:text xml:space="preserve">Not powerful enough</x18tc:text>
  </x18tc:threadedComment>
  <x18tc:threadedComment ref="B5" dT="2026-01-23T19:08:02.00" personId="{e1ec1d2a-acba-4b31-b154-6a70c9f7a846}" id="{449a5d79-7915-4853-b029-9bbcddeaf7c4}" parentId="{dcf6d5ce-b953-4445-b212-45220b24d70d}">
    <x18tc:text xml:space="preserve">Well let's do some more research and find one that works</x18tc:text>
  </x18tc:threadedComment>
  <x18tc:threadedComment ref="B5" dT="2026-01-23T20:11:03.00" personId="{aca7fe00-7c47-4f3c-a240-f8089850d4e2}" id="{533d4347-2d12-4a9d-9478-2203390702ee}" parentId="{dcf6d5ce-b953-4445-b212-45220b24d70d}">
    <x18tc:text xml:space="preserve">It'll probably work for the prototype so it should be okay</x18tc:text>
  </x18tc:threadedComment>
  <x18tc:threadedComment ref="B5" dT="2026-01-23T20:11:22.00" personId="{aca7fe00-7c47-4f3c-a240-f8089850d4e2}" id="{e1383fd1-778c-4511-8b10-7a4286999b65}" parentId="{dcf6d5ce-b953-4445-b212-45220b24d70d}">
    <x18tc:text xml:space="preserve">But I think you also want to buy motors for yourself too right?</x18tc:text>
  </x18tc:threadedComment>
  <x18tc:threadedComment ref="E7" dT="2026-01-29T23:01:03.00" personId="{786ac517-a90e-4b98-aa3e-dcb1f5876c2c}" id="{e7195b64-7e5e-4a91-a37f-c73be21c155e}" done="1">
    <x18tc:text xml:space="preserve">Fix this when price is updated</x18tc:text>
  </x18tc:threadedComment>
  <x18tc:threadedComment ref="A1" dT="2026-01-22T03:10:39.00" personId="{e1ec1d2a-acba-4b31-b154-6a70c9f7a846}" id="{2ccd4861-a5d2-43fb-82ce-22081e07de27}" done="1">
    <x18tc:text xml:space="preserve">lol i changed the title it was 2025</x18tc:text>
  </x18tc:threadedComment>
  <x18tc:threadedComment ref="D7" dT="2026-01-29T22:53:39.00" personId="{786ac517-a90e-4b98-aa3e-dcb1f5876c2c}" id="{3800bdc8-c401-4480-9f34-37090569bfac}" done="1">
    <x18tc:text xml:space="preserve">Fix when price is updated for this row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www.amazon.com/Rocker-Switch-Waterproof-Lighted-Automotive/dp/B0D91HFL3R" TargetMode="External"/><Relationship Id="rId10" Type="http://schemas.openxmlformats.org/officeDocument/2006/relationships/hyperlink" Target="https://www.amazon.com/Cooclensportey-Inline-Holder-Waterproof-Standard/dp/B0FDJYRGB7" TargetMode="External"/><Relationship Id="rId13" Type="http://schemas.openxmlformats.org/officeDocument/2006/relationships/hyperlink" Target="https://www.amazon.com/CONQUERALL-14500RPM-29000RPM-High-Speed-Chainsaw/dp/B09XHTFGYC/ref=sr_1_17?crid=38ON443IA4943&amp;dib=eyJ2IjoiMSJ9.-sCHwfeN_kDnYXBtX3jk4aBB73QNxwubEOCrGPf_Fce5p3eu_jKi1-3TIlK632ke6MVGU39xUXt1JBDjY-ntJ5_JrlHMgOE51_c2gf1ukBycJVNLIGWPyvUuImjN1DoORz2U81y4ZFwxGwmJ5vgqbuoTcg4WvV6OijkF0PA1Ntsow2hyqyfsmBbbOZl0P0COLNa0bmFovpoO29mqBz9H16zkspj7TfZ6KX5QZnTe0r55ij2_GytZVi3ZZ1bpcMGItJjrMFRAlhHkp2L1oeA2YaLeh0ME0h-t1KIdEpw1n6M.b5947ltTSBIqpBFcb_ofWhPrUlCt8Qu4r1kHxIAIklE&amp;dib_tag=se&amp;keywords=775%2BDC%2BMotor%2B12V%2B25000rpm&amp;qid=1769380889&amp;sprefix=775%2Bdc%2Bmotor%2B12v%2B25000rpm%2Caps%2C153&amp;sr=8-17&amp;th=1" TargetMode="External"/><Relationship Id="rId12" Type="http://schemas.openxmlformats.org/officeDocument/2006/relationships/hyperlink" Target="https://www.amazon.com/Feetech-Continuous-Rotation-Arduino-Microbit/dp/B086ZGTLZB/ref=sr_1_12?crid=23G72ZVRA8EAB&amp;dib=eyJ2IjoiMSJ9.jexRmdtvSFlc7sk0KG69pvR1hiW98WlqSt10TBC9UUbHfYDysrsbFy0oavtIHPpq7fgRmw_r-Ijs7qrAcF82pOoBcv7zGyRKfNOyGPqatXlh8YLZzuBNSzdCDZzXvI4na4US-H0b7ld0Chb2gsqIUHXpVzEuX-G1fjuF25aKfQHpudkwG79m18INuQ6PaLew9r1Nd0hgDmQqbBi0INlj0pNBxPx1R73c1-5VkgZU3dKRZD8RH4Z0uEvuFnkmuBk2txv3EVGmnvN1rfuhj76vi-Sit4dQNXf0uUHFKWdWwc8.ebV6dSBmYIgjUq_rSpGVb2ywE7u3d7s2cWS8lg-ici8&amp;dib_tag=se&amp;keywords=continuous+rotation+servo+2+pack&amp;qid=1769382818&amp;sprefix=continuous+rotation+servo+2+pac%2Caps%2C226&amp;sr=8-12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tore-usa.arduino.cc/products/uno-q-4gb?srsltid=AfmBOopG0IcutDKRXX2WNk3OOnComRwfrZ5Fmoapbe38qOYT7Gl3Skd3" TargetMode="External"/><Relationship Id="rId9" Type="http://schemas.openxmlformats.org/officeDocument/2006/relationships/hyperlink" Target="https://www.amazon.com/UBEC-Power-Module-Voltage-Supply/dp/B0D9YXKVVM" TargetMode="External"/><Relationship Id="rId15" Type="http://schemas.openxmlformats.org/officeDocument/2006/relationships/hyperlink" Target="https://www.amazon.com/HiLetgo-IRF520-MOSFET-Arduino-Raspberry/dp/B01I1J14MO/ref=sr_1_7?crid=7TW220TMCBN9&amp;dib=eyJ2IjoiMSJ9.KVFYOg4W0mjlr2bLdgM7O0Sh9cHh9CaczUGzCNPxM6hs2NttwO_oO8QnwMxiqxdixspgEJfWezPv-EQFsCaPnKDMPvD2mGYNRencWQIDQyjXnysFtJTCF_xcypkKdi4aT6vCnVHVxtiwD-tW1ZabjhskOySYevSriCsHgsRRWF9b6pRfL2AdURMURidvkfgFXQosaAFhE2llV0xDRw01nyWLdrhlQQY4OV1jtAAroV_zlQXcLsIeD_e9fkrWzkQCxO-cKyLkqGIo-b7imDDhFxb_bzxK95w_nhxwHxmW588.5GL882a_yD8s0s3rK-FdSoknv1b9OJtb12byOaeI7KA&amp;dib_tag=se&amp;keywords=mosfet+module&amp;qid=1769387019&amp;s=industrial&amp;sprefix=mosfert+modu%2Cindustrial%2C149&amp;sr=1-7" TargetMode="External"/><Relationship Id="rId14" Type="http://schemas.openxmlformats.org/officeDocument/2006/relationships/hyperlink" Target="https://www.amazon.com/CONQUERALL-14500RPM-29000RPM-High-Speed-Chainsaw/dp/B09Y8VKVNM/ref=sr_1_17?crid=38ON443IA4943&amp;dib=eyJ2IjoiMSJ9.-sCHwfeN_kDnYXBtX3jk4aBB73QNxwubEOCrGPf_Fce5p3eu_jKi1-3TIlK632ke6MVGU39xUXt1JBDjY-ntJ5_JrlHMgOE51_c2gf1ukBycJVNLIGWPyvUuImjN1DoORz2U81y4ZFwxGwmJ5vgqbuoTcg4WvV6OijkF0PA1Ntsow2hyqyfsmBbbOZl0P0COLNa0bmFovpoO29mqBz9H16zkspj7TfZ6KX5QZnTe0r55ij2_GytZVi3ZZ1bpcMGItJjrMFRAlhHkp2L1oeA2YaLeh0ME0h-t1KIdEpw1n6M.b5947ltTSBIqpBFcb_ofWhPrUlCt8Qu4r1kHxIAIklE&amp;dib_tag=se&amp;keywords=775%2BDC%2BMotor%2B12V%2B25000rpm&amp;qid=1769380889&amp;sprefix=775%2Bdc%2Bmotor%2B12v%2B25000rpm%2Caps%2C153&amp;sr=8-17&amp;th=1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amazon.com/2-Pack-MG996R-Torque-Digital-Helicopter/dp/B09JWK494C?dib=eyJ2IjoiMSJ9.JoMfcBv4DDewnJ5kHuLRui-jhO-ZQOz-aLYe9UdNidf6p31pqwmpQi0XDuefheqpRKlyCmRbn3ZPXRecpN8HcuAMNj16UUrae721shYXVx_nO_qmY0pS9zM8FoFhf6Q-bdEWqYuOCxsmZ7aKKQLbjpwZfCAn4JaBmFzbmROeP4W5NtSWQkjC3OyUo-21P3L1AhTTrRBwHyGoU0aofgbTDGAMvpbVcuuw0QEPaA-tEGZfFjz6jOyyRUODAz97VmsOZkyy7mdE1Yv6tqj1sJh_70yNshkxNKWq5jsLdZxkn00.ccRy-30pUCn8z89KNkjQvZwQjKe5wVok3OCGP29RuPs&amp;dib_tag=se&amp;keywords=MG996R%2BServo%2B2%2BPack&amp;qid=1769476587&amp;refinements=p_85%3A2470955011&amp;rps=1&amp;sr=8-6&amp;th=1" TargetMode="External"/><Relationship Id="rId5" Type="http://schemas.openxmlformats.org/officeDocument/2006/relationships/hyperlink" Target="https://www.amazon.com/Logitech-Desktop-Widescreen-Calling-Recording/dp/B004FHO5Y6?crid=MQDX1W4U518B&amp;dib=eyJ2IjoiMSJ9.rUHeqx7ZyZnfOR1u6DsCAKyVtGq5H34ayTyFUottR3HRTGSH2vOh2o2CR8i5fjxhfvDP5a79rBg8ryyXJyjXmWwbJLdc_lgzs_sJ6IiaMR0EnS_ahpCg-l6M3Ke7QH7yGRMeS6N9yLjEY4-OaEcMQQv7BHFt65CxvkC67KnqyTyafCYDl5E6ISfroYMJ3xd2Zwp2OH1cWSQWz1VuUd_SKX_vbttjADNJEH6Pc5EFBMo.tHtI63fw_ZfyOs8qvhhbJJ8kSa1G4DZPRB5DcvcKGGY&amp;dib_tag=se&amp;keywords=720p%2Bcamera&amp;qid=1769382375&amp;sprefix=720p%2Bcamera%2Caps%2C225&amp;sr=8-3&amp;th=1" TargetMode="External"/><Relationship Id="rId6" Type="http://schemas.openxmlformats.org/officeDocument/2006/relationships/hyperlink" Target="https://www.amazon.com/Ferwooh-Ultrasonic-Distance-Measuring-Mounting/dp/B0D1MDP9V3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www.amazon.com/Mighty-Max-Battery-ML4-5-12-Rechargeable/dp/B00K8V30D0" TargetMode="External"/><Relationship Id="rId8" Type="http://schemas.openxmlformats.org/officeDocument/2006/relationships/hyperlink" Target="https://www.amazon.com/Beikal-Battery-Charger-Crocodile-Protection/dp/B09STGP4V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  <col customWidth="1" min="2" max="2" width="18.5"/>
    <col customWidth="1" min="3" max="3" width="14.0"/>
    <col customWidth="1" min="4" max="4" width="14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5">
        <v>59.0</v>
      </c>
      <c r="D2" s="6">
        <f>MINUS(200,C2)</f>
        <v>141</v>
      </c>
      <c r="E2" s="6">
        <f t="shared" ref="E2:E6" si="1">DIVIDE(C2,3)</f>
        <v>19.66666667</v>
      </c>
    </row>
    <row r="3" ht="22.5" customHeight="1">
      <c r="A3" s="3" t="s">
        <v>7</v>
      </c>
      <c r="B3" s="4" t="s">
        <v>8</v>
      </c>
      <c r="C3" s="5">
        <v>16.99</v>
      </c>
      <c r="D3" s="6">
        <f t="shared" ref="D3:D14" si="2">MINUS(D2,C3)</f>
        <v>124.01</v>
      </c>
      <c r="E3" s="6">
        <f t="shared" si="1"/>
        <v>5.663333333</v>
      </c>
    </row>
    <row r="4" ht="22.5" customHeight="1">
      <c r="A4" s="3" t="s">
        <v>9</v>
      </c>
      <c r="B4" s="4" t="s">
        <v>8</v>
      </c>
      <c r="C4" s="5">
        <v>6.99</v>
      </c>
      <c r="D4" s="6">
        <f t="shared" si="2"/>
        <v>117.02</v>
      </c>
      <c r="E4" s="6">
        <f t="shared" si="1"/>
        <v>2.33</v>
      </c>
    </row>
    <row r="5" ht="22.5" customHeight="1">
      <c r="A5" s="3" t="s">
        <v>10</v>
      </c>
      <c r="B5" s="4" t="s">
        <v>8</v>
      </c>
      <c r="C5" s="5">
        <v>19.0</v>
      </c>
      <c r="D5" s="6">
        <f t="shared" si="2"/>
        <v>98.02</v>
      </c>
      <c r="E5" s="6">
        <f t="shared" si="1"/>
        <v>6.333333333</v>
      </c>
    </row>
    <row r="6" ht="22.5" customHeight="1">
      <c r="A6" s="3" t="s">
        <v>11</v>
      </c>
      <c r="B6" s="4" t="s">
        <v>8</v>
      </c>
      <c r="C6" s="5">
        <v>7.59</v>
      </c>
      <c r="D6" s="6">
        <f t="shared" si="2"/>
        <v>90.43</v>
      </c>
      <c r="E6" s="6">
        <f t="shared" si="1"/>
        <v>2.53</v>
      </c>
    </row>
    <row r="7" ht="22.5" customHeight="1">
      <c r="A7" s="7" t="s">
        <v>12</v>
      </c>
      <c r="B7" s="4" t="s">
        <v>8</v>
      </c>
      <c r="C7" s="5">
        <v>5.49</v>
      </c>
      <c r="D7" s="8">
        <f t="shared" si="2"/>
        <v>84.94</v>
      </c>
      <c r="E7" s="6">
        <f>DIVIDE(C7,3)</f>
        <v>1.83</v>
      </c>
    </row>
    <row r="8" ht="22.5" customHeight="1">
      <c r="A8" s="3" t="s">
        <v>13</v>
      </c>
      <c r="B8" s="4" t="s">
        <v>8</v>
      </c>
      <c r="C8" s="5">
        <v>5.97</v>
      </c>
      <c r="D8" s="8">
        <f t="shared" si="2"/>
        <v>78.97</v>
      </c>
      <c r="E8" s="8">
        <f t="shared" ref="E8:E14" si="3">DIVIDE(C8,3)</f>
        <v>1.99</v>
      </c>
    </row>
    <row r="9" ht="22.5" customHeight="1">
      <c r="A9" s="3" t="s">
        <v>14</v>
      </c>
      <c r="B9" s="4" t="s">
        <v>8</v>
      </c>
      <c r="C9" s="5">
        <v>5.99</v>
      </c>
      <c r="D9" s="8">
        <f t="shared" si="2"/>
        <v>72.98</v>
      </c>
      <c r="E9" s="8">
        <f t="shared" si="3"/>
        <v>1.996666667</v>
      </c>
    </row>
    <row r="10" ht="22.5" customHeight="1">
      <c r="A10" s="3" t="s">
        <v>15</v>
      </c>
      <c r="B10" s="4" t="s">
        <v>8</v>
      </c>
      <c r="C10" s="5">
        <v>14.89</v>
      </c>
      <c r="D10" s="8">
        <f t="shared" si="2"/>
        <v>58.09</v>
      </c>
      <c r="E10" s="8">
        <f t="shared" si="3"/>
        <v>4.963333333</v>
      </c>
    </row>
    <row r="11" ht="22.5" customHeight="1">
      <c r="A11" s="3" t="s">
        <v>16</v>
      </c>
      <c r="B11" s="4" t="s">
        <v>8</v>
      </c>
      <c r="C11" s="5">
        <v>15.99</v>
      </c>
      <c r="D11" s="8">
        <f t="shared" si="2"/>
        <v>42.1</v>
      </c>
      <c r="E11" s="8">
        <f t="shared" si="3"/>
        <v>5.33</v>
      </c>
    </row>
    <row r="12" ht="22.5" customHeight="1">
      <c r="A12" s="3" t="s">
        <v>17</v>
      </c>
      <c r="B12" s="4" t="s">
        <v>8</v>
      </c>
      <c r="C12" s="5">
        <v>9.99</v>
      </c>
      <c r="D12" s="8">
        <f t="shared" si="2"/>
        <v>32.11</v>
      </c>
      <c r="E12" s="8">
        <f t="shared" si="3"/>
        <v>3.33</v>
      </c>
    </row>
    <row r="13" ht="22.5" customHeight="1">
      <c r="A13" s="3" t="s">
        <v>18</v>
      </c>
      <c r="B13" s="4" t="s">
        <v>8</v>
      </c>
      <c r="C13" s="5">
        <v>6.99</v>
      </c>
      <c r="D13" s="8">
        <f t="shared" si="2"/>
        <v>25.12</v>
      </c>
      <c r="E13" s="8">
        <f t="shared" si="3"/>
        <v>2.33</v>
      </c>
    </row>
    <row r="14" ht="22.5" customHeight="1">
      <c r="A14" s="3" t="s">
        <v>19</v>
      </c>
      <c r="B14" s="4" t="s">
        <v>8</v>
      </c>
      <c r="C14" s="5">
        <v>13.98</v>
      </c>
      <c r="D14" s="8">
        <f t="shared" si="2"/>
        <v>11.14</v>
      </c>
      <c r="E14" s="8">
        <f t="shared" si="3"/>
        <v>4.66</v>
      </c>
    </row>
    <row r="15" ht="22.5" customHeight="1">
      <c r="A15" s="9"/>
      <c r="B15" s="9"/>
      <c r="C15" s="9"/>
      <c r="D15" s="10"/>
      <c r="E15" s="10"/>
    </row>
    <row r="16" ht="22.5" customHeight="1">
      <c r="A16" s="11" t="s">
        <v>20</v>
      </c>
      <c r="B16" s="3" t="s">
        <v>21</v>
      </c>
      <c r="C16" s="12">
        <f>SUM(C3:C15)</f>
        <v>129.86</v>
      </c>
      <c r="D16" s="6">
        <f>MINUS(D14,0)</f>
        <v>11.14</v>
      </c>
      <c r="E16" s="8">
        <f>SUM(E2:E14)</f>
        <v>62.95333333</v>
      </c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</hyperlinks>
  <drawing r:id="rId17"/>
  <legacyDrawing r:id="rId18"/>
  <tableParts count="1">
    <tablePart r:id="rId20"/>
  </tableParts>
</worksheet>
</file>